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NSET\S2\PP\AJCM_AI\"/>
    </mc:Choice>
  </mc:AlternateContent>
  <xr:revisionPtr revIDLastSave="0" documentId="13_ncr:1_{CDC3D4B5-F635-4A76-8F92-5B116B5F3636}" xr6:coauthVersionLast="47" xr6:coauthVersionMax="47" xr10:uidLastSave="{00000000-0000-0000-0000-000000000000}"/>
  <bookViews>
    <workbookView xWindow="10788" yWindow="0" windowWidth="12252" windowHeight="12360" xr2:uid="{34E6256C-104E-480F-9AE6-1F39618B168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I2" i="1" s="1"/>
  <c r="I4" i="1"/>
  <c r="I5" i="1"/>
  <c r="I7" i="1"/>
  <c r="I9" i="1"/>
  <c r="I15" i="1"/>
  <c r="I17" i="1"/>
  <c r="I24" i="1"/>
  <c r="I25" i="1"/>
  <c r="I31" i="1"/>
  <c r="I32" i="1"/>
  <c r="I33" i="1"/>
  <c r="I37" i="1"/>
  <c r="I40" i="1"/>
  <c r="I41" i="1"/>
  <c r="I45" i="1"/>
  <c r="I46" i="1"/>
  <c r="I47" i="1"/>
  <c r="I48" i="1"/>
  <c r="I49" i="1"/>
  <c r="I52" i="1"/>
  <c r="I53" i="1"/>
  <c r="I54" i="1"/>
  <c r="I57" i="1"/>
  <c r="H44" i="1"/>
  <c r="I44" i="1" s="1"/>
  <c r="H45" i="1"/>
  <c r="H46" i="1"/>
  <c r="H43" i="1"/>
  <c r="I43" i="1" s="1"/>
  <c r="H42" i="1"/>
  <c r="I42" i="1" s="1"/>
  <c r="H41" i="1"/>
  <c r="H40" i="1"/>
  <c r="H39" i="1"/>
  <c r="I39" i="1" s="1"/>
  <c r="H38" i="1"/>
  <c r="I38" i="1" s="1"/>
  <c r="H37" i="1"/>
  <c r="G43" i="1"/>
  <c r="G44" i="1"/>
  <c r="G45" i="1"/>
  <c r="G46" i="1"/>
  <c r="G16" i="1"/>
  <c r="H16" i="1"/>
  <c r="I16" i="1" s="1"/>
  <c r="G17" i="1"/>
  <c r="H17" i="1"/>
  <c r="G18" i="1"/>
  <c r="H18" i="1"/>
  <c r="I18" i="1" s="1"/>
  <c r="G50" i="1"/>
  <c r="H50" i="1"/>
  <c r="I50" i="1" s="1"/>
  <c r="G51" i="1"/>
  <c r="H51" i="1"/>
  <c r="I51" i="1" s="1"/>
  <c r="G52" i="1"/>
  <c r="H52" i="1"/>
  <c r="G39" i="1"/>
  <c r="G40" i="1"/>
  <c r="G41" i="1"/>
  <c r="G42" i="1"/>
  <c r="G21" i="1"/>
  <c r="H21" i="1"/>
  <c r="I21" i="1" s="1"/>
  <c r="G19" i="1"/>
  <c r="G20" i="1"/>
  <c r="H19" i="1"/>
  <c r="I19" i="1" s="1"/>
  <c r="H20" i="1"/>
  <c r="I20" i="1" s="1"/>
  <c r="H10" i="1"/>
  <c r="I10" i="1" s="1"/>
  <c r="H11" i="1"/>
  <c r="I11" i="1" s="1"/>
  <c r="H12" i="1"/>
  <c r="I12" i="1" s="1"/>
  <c r="H13" i="1"/>
  <c r="I13" i="1" s="1"/>
  <c r="G10" i="1"/>
  <c r="G11" i="1"/>
  <c r="G12" i="1"/>
  <c r="G13" i="1"/>
  <c r="G9" i="1"/>
  <c r="H9" i="1"/>
  <c r="G8" i="1"/>
  <c r="H8" i="1"/>
  <c r="I8" i="1" s="1"/>
  <c r="H56" i="1"/>
  <c r="I56" i="1" s="1"/>
  <c r="H57" i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55" i="1"/>
  <c r="I55" i="1" s="1"/>
  <c r="H54" i="1"/>
  <c r="H53" i="1"/>
  <c r="H47" i="1"/>
  <c r="H48" i="1"/>
  <c r="H49" i="1"/>
  <c r="H28" i="1"/>
  <c r="I28" i="1" s="1"/>
  <c r="H29" i="1"/>
  <c r="I29" i="1" s="1"/>
  <c r="H30" i="1"/>
  <c r="I30" i="1" s="1"/>
  <c r="H31" i="1"/>
  <c r="H32" i="1"/>
  <c r="H33" i="1"/>
  <c r="H34" i="1"/>
  <c r="I34" i="1" s="1"/>
  <c r="H35" i="1"/>
  <c r="I35" i="1" s="1"/>
  <c r="H36" i="1"/>
  <c r="I36" i="1" s="1"/>
  <c r="H27" i="1"/>
  <c r="I27" i="1" s="1"/>
  <c r="H23" i="1"/>
  <c r="I23" i="1" s="1"/>
  <c r="H24" i="1"/>
  <c r="H25" i="1"/>
  <c r="H26" i="1"/>
  <c r="I26" i="1" s="1"/>
  <c r="H22" i="1"/>
  <c r="I22" i="1" s="1"/>
  <c r="H15" i="1"/>
  <c r="H14" i="1"/>
  <c r="I14" i="1" s="1"/>
  <c r="H3" i="1"/>
  <c r="I3" i="1" s="1"/>
  <c r="H4" i="1"/>
  <c r="H5" i="1"/>
  <c r="H6" i="1"/>
  <c r="I6" i="1" s="1"/>
  <c r="H7" i="1"/>
  <c r="G3" i="1"/>
  <c r="G2" i="1"/>
  <c r="G15" i="1"/>
  <c r="G14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47" i="1"/>
  <c r="G48" i="1"/>
  <c r="G49" i="1"/>
  <c r="G53" i="1"/>
  <c r="G54" i="1"/>
  <c r="G55" i="1"/>
  <c r="G56" i="1"/>
  <c r="G57" i="1"/>
  <c r="G58" i="1"/>
  <c r="G59" i="1"/>
  <c r="G60" i="1"/>
  <c r="G61" i="1"/>
  <c r="G62" i="1"/>
  <c r="G4" i="1"/>
  <c r="G5" i="1"/>
  <c r="G6" i="1"/>
  <c r="G63" i="1"/>
  <c r="G7" i="1"/>
</calcChain>
</file>

<file path=xl/sharedStrings.xml><?xml version="1.0" encoding="utf-8"?>
<sst xmlns="http://schemas.openxmlformats.org/spreadsheetml/2006/main" count="195" uniqueCount="95">
  <si>
    <t>Type</t>
  </si>
  <si>
    <t>Duration</t>
  </si>
  <si>
    <t>Cost</t>
  </si>
  <si>
    <t>Volunteers</t>
  </si>
  <si>
    <t>Social Impact</t>
  </si>
  <si>
    <t>Cost Efficiency</t>
  </si>
  <si>
    <t>Volunteer Intensity</t>
  </si>
  <si>
    <t>Priority Score</t>
  </si>
  <si>
    <t>Art</t>
  </si>
  <si>
    <t>2h</t>
  </si>
  <si>
    <t>Camping</t>
  </si>
  <si>
    <t>80h</t>
  </si>
  <si>
    <t>Conférence</t>
  </si>
  <si>
    <t>Formation</t>
  </si>
  <si>
    <t>24h</t>
  </si>
  <si>
    <t>48h</t>
  </si>
  <si>
    <t>56h</t>
  </si>
  <si>
    <t>40h</t>
  </si>
  <si>
    <t>Medical Convoy</t>
  </si>
  <si>
    <t>7h</t>
  </si>
  <si>
    <t>8h</t>
  </si>
  <si>
    <t>4h</t>
  </si>
  <si>
    <t>Table Ronde</t>
  </si>
  <si>
    <t>Workshop</t>
  </si>
  <si>
    <t>3h</t>
  </si>
  <si>
    <t>6h</t>
  </si>
  <si>
    <t>Event Name</t>
  </si>
  <si>
    <t>مخيم صيفي ايموزار المرحلة 5 صيف 2025</t>
  </si>
  <si>
    <t>العرض الوطني لتنشيط مؤسسات الشباب بين التنزيل والتحديات</t>
  </si>
  <si>
    <t>مستجدات العرض الوطني للتخييم 2025</t>
  </si>
  <si>
    <t>ندوة حول قضية الصحراء المغربية  "قافلة المواطنة"</t>
  </si>
  <si>
    <t>حفل حناء "رسم حنتك"</t>
  </si>
  <si>
    <t>مهرجان الانشودة التربوية 1</t>
  </si>
  <si>
    <t>أمسية زجلية"مهرجان ربيع المواطنة "</t>
  </si>
  <si>
    <t>ليلة السماع و المديح</t>
  </si>
  <si>
    <t>لقاء تطوير المهارات</t>
  </si>
  <si>
    <t xml:space="preserve">التدريب الوطني للأنشودة و وسائل التعبير </t>
  </si>
  <si>
    <t>لقاء لتقوية القدرات ( التدبير الجيد مدخل للنجاعة الجمعوية و الريادة القيادية)</t>
  </si>
  <si>
    <t>Fedala youth voice "bande dessinèe"</t>
  </si>
  <si>
    <t>Fedala youth voice "theatre"</t>
  </si>
  <si>
    <t>Fedala youth voice "podcast"</t>
  </si>
  <si>
    <t>دورة تكوينية في الانشودة التربوية "أكادمية شباب المواطنة "</t>
  </si>
  <si>
    <t>تدريب الدرجة الثانية لتنشيط المخيمات ، فئة اليافعين</t>
  </si>
  <si>
    <t>تدريب الدرجة الأولى لمنشطي المخيمات  فئة الاطفال</t>
  </si>
  <si>
    <t>الجامعة الصيفية للشباب</t>
  </si>
  <si>
    <t>قافلة طبية للكشف عن المبكر عن سرطان الثدي و عنق الرحم 1</t>
  </si>
  <si>
    <t>قافلة طبية للكشف عن المبكر عن سرطان الثدي و عنق الرحم 2</t>
  </si>
  <si>
    <t>حملة التبرع بالدم رمضان 2026</t>
  </si>
  <si>
    <t>حملة التبرع بالدم القصبة صيف 2025</t>
  </si>
  <si>
    <t xml:space="preserve">حملة التبرع بالدم </t>
  </si>
  <si>
    <t>توزيع قفف رمضان</t>
  </si>
  <si>
    <t>مائدة مستديرة حول "المشاركة السياسية للشباب" "قافلة المواطنة"</t>
  </si>
  <si>
    <t>مائدة مستديرة تحت عنوان أدوار مؤسسة وسيط المملكة وقضايا الشباب.</t>
  </si>
  <si>
    <t>masterclass</t>
  </si>
  <si>
    <t>امسية قرآنية</t>
  </si>
  <si>
    <t>ورشة تكوينية في المسرح "أكادمية شباب المواطنة "</t>
  </si>
  <si>
    <t>عين و حكاية فلم 7447</t>
  </si>
  <si>
    <t>عين و حكاية</t>
  </si>
  <si>
    <t>ورشة في المسرح 1</t>
  </si>
  <si>
    <t>حصة في الشطرنج 2</t>
  </si>
  <si>
    <t>ورشة في المسرح 2</t>
  </si>
  <si>
    <t>حصة في الشطرنج 1</t>
  </si>
  <si>
    <t>بيداغوية تسيير الأناشيد</t>
  </si>
  <si>
    <t>صبيحة تربوية " مهرجان ربيع المواطنة"</t>
  </si>
  <si>
    <t>صبيحة تربوية : جداريات + تشجير "قافلة المواطنة"</t>
  </si>
  <si>
    <t>مدخل إلى مسرح المنتدى</t>
  </si>
  <si>
    <t>مدخل الى الارتجال المسرحي</t>
  </si>
  <si>
    <t>تزيين و رسم جداريات"مهرجان ربيع المواطنة"</t>
  </si>
  <si>
    <t>خرجة تطبيقية للأطر</t>
  </si>
  <si>
    <t>Culture</t>
  </si>
  <si>
    <t>نشاط داخلي "لعبة Loup-garou "</t>
  </si>
  <si>
    <t>مخيم المنظر الجميل العالية المحمدية</t>
  </si>
  <si>
    <t>96h</t>
  </si>
  <si>
    <t>solidarity_donation</t>
  </si>
  <si>
    <t>مهرجان فني مدرسي</t>
  </si>
  <si>
    <t>عرض مسرحي احترافي</t>
  </si>
  <si>
    <t>معرض فني مفتوح للعموم</t>
  </si>
  <si>
    <t>ورشة في المسرح 3</t>
  </si>
  <si>
    <t>ورشة رسم جماعية في الفضاء العام</t>
  </si>
  <si>
    <t>مخيم شبابي مدته ثلاثة أيام</t>
  </si>
  <si>
    <t>مخيم تكويني مع شركاء</t>
  </si>
  <si>
    <t>مخيم تربوي جهوي (نموذج متوسط)</t>
  </si>
  <si>
    <t>72h</t>
  </si>
  <si>
    <t>قافلة طبية عامة (كشف عام)</t>
  </si>
  <si>
    <t>قافلة طبية للكشف عن أمراض الأسنان</t>
  </si>
  <si>
    <t>قافلة طبية كبرى متعددة التخصصات</t>
  </si>
  <si>
    <t>قافلة طبية نظر وسمع</t>
  </si>
  <si>
    <t>5h</t>
  </si>
  <si>
    <t>حملة تبرع بالدم — دوار الزيتون</t>
  </si>
  <si>
    <t>حملة تبرع بالدم رمضان (نموذج صغير)</t>
  </si>
  <si>
    <t>حملة تبرع بالدم — حي المحمدية</t>
  </si>
  <si>
    <t>solidarity_material</t>
  </si>
  <si>
    <t>حملة جمع التبرعات للأسر المعوزة</t>
  </si>
  <si>
    <t>توزيع ملابس الشتاء على المحتاجين</t>
  </si>
  <si>
    <t>توزيع قفف رمضان — حي الأمل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</si>
</sst>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1F3864"/>
      <name val="Arial"/>
      <family val="2"/>
    </font>
    <font>
      <sz val="8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1F0C8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C8C5FF"/>
        <bgColor rgb="FF000000"/>
      </patternFill>
    </fill>
    <fill>
      <patternFill patternType="solid">
        <fgColor rgb="FFC1F0C8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C8C5FF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E9FF97"/>
        <bgColor indexed="64"/>
      </patternFill>
    </fill>
    <fill>
      <patternFill patternType="solid">
        <fgColor rgb="FFE9FF97"/>
        <bgColor rgb="FF000000"/>
      </patternFill>
    </fill>
    <fill>
      <patternFill patternType="solid">
        <fgColor rgb="FFFFCDCD"/>
        <bgColor indexed="64"/>
      </patternFill>
    </fill>
    <fill>
      <patternFill patternType="solid">
        <fgColor rgb="FFFFCDCD"/>
        <bgColor rgb="FF000000"/>
      </patternFill>
    </fill>
    <fill>
      <patternFill patternType="solid">
        <fgColor rgb="FFE3ADE9"/>
        <bgColor indexed="64"/>
      </patternFill>
    </fill>
    <fill>
      <patternFill patternType="solid">
        <fgColor rgb="FFE3ADE9"/>
        <bgColor rgb="FF000000"/>
      </patternFill>
    </fill>
    <fill>
      <patternFill patternType="solid">
        <fgColor rgb="FFF9BDFF"/>
        <bgColor indexed="64"/>
      </patternFill>
    </fill>
    <fill>
      <patternFill patternType="solid">
        <fgColor rgb="FFF9BDFF"/>
        <bgColor rgb="FF000000"/>
      </patternFill>
    </fill>
    <fill>
      <patternFill patternType="solid">
        <fgColor rgb="FFB9F8FF"/>
        <bgColor indexed="64"/>
      </patternFill>
    </fill>
    <fill>
      <patternFill patternType="solid">
        <fgColor rgb="FFB9F8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rgb="FFCCCCCC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2" fillId="17" borderId="3" xfId="0" applyFont="1" applyFill="1" applyBorder="1" applyAlignment="1">
      <alignment horizontal="center" vertical="center"/>
    </xf>
    <xf numFmtId="0" fontId="2" fillId="18" borderId="3" xfId="0" applyFont="1" applyFill="1" applyBorder="1" applyAlignment="1">
      <alignment horizontal="center" vertical="center"/>
    </xf>
    <xf numFmtId="0" fontId="3" fillId="18" borderId="3" xfId="0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0" fontId="3" fillId="20" borderId="3" xfId="0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 vertical="center"/>
    </xf>
    <xf numFmtId="0" fontId="2" fillId="22" borderId="3" xfId="0" applyFont="1" applyFill="1" applyBorder="1" applyAlignment="1">
      <alignment horizontal="center" vertical="center"/>
    </xf>
    <xf numFmtId="0" fontId="3" fillId="2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9F8FF"/>
      <color rgb="FFF9BDFF"/>
      <color rgb="FFFFCDCD"/>
      <color rgb="FFE3ADE9"/>
      <color rgb="FFC4D79B"/>
      <color rgb="FFFFB3B3"/>
      <color rgb="FFE6CCCC"/>
      <color rgb="FFE9FF97"/>
      <color rgb="FFC1F0C8"/>
      <color rgb="FFC8C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DBB1B-C8A0-4D20-B14E-F920F74108E5}">
  <dimension ref="A1:I63"/>
  <sheetViews>
    <sheetView tabSelected="1" workbookViewId="0">
      <selection activeCell="H2" sqref="H2"/>
    </sheetView>
  </sheetViews>
  <sheetFormatPr baseColWidth="10" defaultRowHeight="14.4" x14ac:dyDescent="0.3"/>
  <cols>
    <col min="1" max="1" width="41" bestFit="1" customWidth="1"/>
    <col min="2" max="2" width="14.109375" bestFit="1" customWidth="1"/>
  </cols>
  <sheetData>
    <row r="1" spans="1:9" ht="26.4" x14ac:dyDescent="0.3">
      <c r="A1" s="1" t="s">
        <v>26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30" t="s">
        <v>55</v>
      </c>
      <c r="B2" s="31" t="s">
        <v>8</v>
      </c>
      <c r="C2" s="31" t="s">
        <v>9</v>
      </c>
      <c r="D2" s="31">
        <v>500</v>
      </c>
      <c r="E2" s="31">
        <v>2</v>
      </c>
      <c r="F2" s="31">
        <v>0.75</v>
      </c>
      <c r="G2" s="31">
        <f t="shared" ref="G2:G33" si="0">1 - (D2 / MAX($D$2:$D$63))</f>
        <v>0.9</v>
      </c>
      <c r="H2" s="31">
        <f>E2/MAX($E$2:$E$63)</f>
        <v>0.1111111111111111</v>
      </c>
      <c r="I2" s="32">
        <f>0.6*F2+0.3*G2+0.1*H2</f>
        <v>0.73111111111111104</v>
      </c>
    </row>
    <row r="3" spans="1:9" x14ac:dyDescent="0.3">
      <c r="A3" s="30" t="s">
        <v>57</v>
      </c>
      <c r="B3" s="31" t="s">
        <v>8</v>
      </c>
      <c r="C3" s="31" t="s">
        <v>9</v>
      </c>
      <c r="D3" s="31">
        <v>500</v>
      </c>
      <c r="E3" s="31">
        <v>1</v>
      </c>
      <c r="F3" s="31">
        <v>0.66</v>
      </c>
      <c r="G3" s="31">
        <f t="shared" si="0"/>
        <v>0.9</v>
      </c>
      <c r="H3" s="31">
        <f t="shared" ref="H2:H33" si="1">E3/MAX($E$2:$E$63)</f>
        <v>5.5555555555555552E-2</v>
      </c>
      <c r="I3" s="32">
        <f t="shared" ref="I3:I63" si="2">0.6*F3+0.3*G3+0.1*H3</f>
        <v>0.67155555555555557</v>
      </c>
    </row>
    <row r="4" spans="1:9" x14ac:dyDescent="0.3">
      <c r="A4" s="30" t="s">
        <v>56</v>
      </c>
      <c r="B4" s="31" t="s">
        <v>8</v>
      </c>
      <c r="C4" s="31" t="s">
        <v>9</v>
      </c>
      <c r="D4" s="31">
        <v>500</v>
      </c>
      <c r="E4" s="31">
        <v>1</v>
      </c>
      <c r="F4" s="31">
        <v>0.66</v>
      </c>
      <c r="G4" s="31">
        <f t="shared" si="0"/>
        <v>0.9</v>
      </c>
      <c r="H4" s="31">
        <f t="shared" si="1"/>
        <v>5.5555555555555552E-2</v>
      </c>
      <c r="I4" s="32">
        <f t="shared" si="2"/>
        <v>0.67155555555555557</v>
      </c>
    </row>
    <row r="5" spans="1:9" x14ac:dyDescent="0.3">
      <c r="A5" s="30" t="s">
        <v>66</v>
      </c>
      <c r="B5" s="31" t="s">
        <v>8</v>
      </c>
      <c r="C5" s="31" t="s">
        <v>24</v>
      </c>
      <c r="D5" s="31">
        <v>500</v>
      </c>
      <c r="E5" s="31">
        <v>1</v>
      </c>
      <c r="F5" s="31">
        <v>0.7</v>
      </c>
      <c r="G5" s="31">
        <f t="shared" si="0"/>
        <v>0.9</v>
      </c>
      <c r="H5" s="31">
        <f t="shared" si="1"/>
        <v>5.5555555555555552E-2</v>
      </c>
      <c r="I5" s="32">
        <f t="shared" si="2"/>
        <v>0.69555555555555548</v>
      </c>
    </row>
    <row r="6" spans="1:9" x14ac:dyDescent="0.3">
      <c r="A6" s="30" t="s">
        <v>65</v>
      </c>
      <c r="B6" s="31" t="s">
        <v>8</v>
      </c>
      <c r="C6" s="31" t="s">
        <v>24</v>
      </c>
      <c r="D6" s="31">
        <v>500</v>
      </c>
      <c r="E6" s="31">
        <v>1</v>
      </c>
      <c r="F6" s="31">
        <v>0.7</v>
      </c>
      <c r="G6" s="31">
        <f t="shared" si="0"/>
        <v>0.9</v>
      </c>
      <c r="H6" s="31">
        <f t="shared" si="1"/>
        <v>5.5555555555555552E-2</v>
      </c>
      <c r="I6" s="32">
        <f t="shared" si="2"/>
        <v>0.69555555555555548</v>
      </c>
    </row>
    <row r="7" spans="1:9" x14ac:dyDescent="0.3">
      <c r="A7" s="30" t="s">
        <v>58</v>
      </c>
      <c r="B7" s="31" t="s">
        <v>8</v>
      </c>
      <c r="C7" s="31" t="s">
        <v>9</v>
      </c>
      <c r="D7" s="31">
        <v>500</v>
      </c>
      <c r="E7" s="31">
        <v>1</v>
      </c>
      <c r="F7" s="31">
        <v>0.7</v>
      </c>
      <c r="G7" s="31">
        <f t="shared" si="0"/>
        <v>0.9</v>
      </c>
      <c r="H7" s="31">
        <f t="shared" si="1"/>
        <v>5.5555555555555552E-2</v>
      </c>
      <c r="I7" s="32">
        <f t="shared" si="2"/>
        <v>0.69555555555555548</v>
      </c>
    </row>
    <row r="8" spans="1:9" x14ac:dyDescent="0.3">
      <c r="A8" s="30" t="s">
        <v>60</v>
      </c>
      <c r="B8" s="31" t="s">
        <v>8</v>
      </c>
      <c r="C8" s="31" t="s">
        <v>9</v>
      </c>
      <c r="D8" s="31">
        <v>500</v>
      </c>
      <c r="E8" s="31">
        <v>1</v>
      </c>
      <c r="F8" s="31">
        <v>0.7</v>
      </c>
      <c r="G8" s="31">
        <f t="shared" si="0"/>
        <v>0.9</v>
      </c>
      <c r="H8" s="31">
        <f t="shared" si="1"/>
        <v>5.5555555555555552E-2</v>
      </c>
      <c r="I8" s="32">
        <f t="shared" si="2"/>
        <v>0.69555555555555548</v>
      </c>
    </row>
    <row r="9" spans="1:9" x14ac:dyDescent="0.3">
      <c r="A9" s="30" t="s">
        <v>77</v>
      </c>
      <c r="B9" s="31" t="s">
        <v>8</v>
      </c>
      <c r="C9" s="31" t="s">
        <v>9</v>
      </c>
      <c r="D9" s="31">
        <v>500</v>
      </c>
      <c r="E9" s="31">
        <v>1</v>
      </c>
      <c r="F9" s="31">
        <v>0.7</v>
      </c>
      <c r="G9" s="31">
        <f t="shared" si="0"/>
        <v>0.9</v>
      </c>
      <c r="H9" s="31">
        <f t="shared" si="1"/>
        <v>5.5555555555555552E-2</v>
      </c>
      <c r="I9" s="32">
        <f t="shared" si="2"/>
        <v>0.69555555555555548</v>
      </c>
    </row>
    <row r="10" spans="1:9" x14ac:dyDescent="0.3">
      <c r="A10" s="30" t="s">
        <v>78</v>
      </c>
      <c r="B10" s="31" t="s">
        <v>8</v>
      </c>
      <c r="C10" s="31" t="s">
        <v>21</v>
      </c>
      <c r="D10" s="31">
        <v>300</v>
      </c>
      <c r="E10" s="31">
        <v>4</v>
      </c>
      <c r="F10" s="31">
        <v>0.75</v>
      </c>
      <c r="G10" s="31">
        <f t="shared" si="0"/>
        <v>0.94</v>
      </c>
      <c r="H10" s="31">
        <f t="shared" si="1"/>
        <v>0.22222222222222221</v>
      </c>
      <c r="I10" s="32">
        <f t="shared" si="2"/>
        <v>0.75422222222222224</v>
      </c>
    </row>
    <row r="11" spans="1:9" x14ac:dyDescent="0.3">
      <c r="A11" s="30" t="s">
        <v>76</v>
      </c>
      <c r="B11" s="31" t="s">
        <v>8</v>
      </c>
      <c r="C11" s="31" t="s">
        <v>25</v>
      </c>
      <c r="D11" s="31">
        <v>800</v>
      </c>
      <c r="E11" s="31">
        <v>6</v>
      </c>
      <c r="F11" s="31">
        <v>0.7</v>
      </c>
      <c r="G11" s="31">
        <f t="shared" si="0"/>
        <v>0.84</v>
      </c>
      <c r="H11" s="31">
        <f t="shared" si="1"/>
        <v>0.33333333333333331</v>
      </c>
      <c r="I11" s="32">
        <f t="shared" si="2"/>
        <v>0.70533333333333326</v>
      </c>
    </row>
    <row r="12" spans="1:9" x14ac:dyDescent="0.3">
      <c r="A12" s="30" t="s">
        <v>75</v>
      </c>
      <c r="B12" s="31" t="s">
        <v>8</v>
      </c>
      <c r="C12" s="31" t="s">
        <v>24</v>
      </c>
      <c r="D12" s="31">
        <v>1200</v>
      </c>
      <c r="E12" s="31">
        <v>9</v>
      </c>
      <c r="F12" s="31">
        <v>0.7</v>
      </c>
      <c r="G12" s="31">
        <f t="shared" si="0"/>
        <v>0.76</v>
      </c>
      <c r="H12" s="31">
        <f t="shared" si="1"/>
        <v>0.5</v>
      </c>
      <c r="I12" s="32">
        <f t="shared" si="2"/>
        <v>0.69799999999999995</v>
      </c>
    </row>
    <row r="13" spans="1:9" x14ac:dyDescent="0.3">
      <c r="A13" s="30" t="s">
        <v>74</v>
      </c>
      <c r="B13" s="31" t="s">
        <v>8</v>
      </c>
      <c r="C13" s="31" t="s">
        <v>21</v>
      </c>
      <c r="D13" s="31">
        <v>1000</v>
      </c>
      <c r="E13" s="31">
        <v>10</v>
      </c>
      <c r="F13" s="31">
        <v>0.66</v>
      </c>
      <c r="G13" s="31">
        <f t="shared" si="0"/>
        <v>0.8</v>
      </c>
      <c r="H13" s="31">
        <f t="shared" si="1"/>
        <v>0.55555555555555558</v>
      </c>
      <c r="I13" s="32">
        <f t="shared" si="2"/>
        <v>0.69155555555555559</v>
      </c>
    </row>
    <row r="14" spans="1:9" x14ac:dyDescent="0.3">
      <c r="A14" s="27" t="s">
        <v>27</v>
      </c>
      <c r="B14" s="28" t="s">
        <v>10</v>
      </c>
      <c r="C14" s="28" t="s">
        <v>11</v>
      </c>
      <c r="D14" s="28">
        <v>4000</v>
      </c>
      <c r="E14" s="28">
        <v>12</v>
      </c>
      <c r="F14" s="28">
        <v>0.55000000000000004</v>
      </c>
      <c r="G14" s="28">
        <f t="shared" si="0"/>
        <v>0.19999999999999996</v>
      </c>
      <c r="H14" s="28">
        <f t="shared" si="1"/>
        <v>0.66666666666666663</v>
      </c>
      <c r="I14" s="29">
        <f t="shared" si="2"/>
        <v>0.45666666666666667</v>
      </c>
    </row>
    <row r="15" spans="1:9" x14ac:dyDescent="0.3">
      <c r="A15" s="27" t="s">
        <v>71</v>
      </c>
      <c r="B15" s="28" t="s">
        <v>10</v>
      </c>
      <c r="C15" s="28" t="s">
        <v>72</v>
      </c>
      <c r="D15" s="28">
        <v>5000</v>
      </c>
      <c r="E15" s="28">
        <v>16</v>
      </c>
      <c r="F15" s="28">
        <v>0.55000000000000004</v>
      </c>
      <c r="G15" s="28">
        <f t="shared" si="0"/>
        <v>0</v>
      </c>
      <c r="H15" s="28">
        <f t="shared" si="1"/>
        <v>0.88888888888888884</v>
      </c>
      <c r="I15" s="29">
        <f t="shared" si="2"/>
        <v>0.41888888888888892</v>
      </c>
    </row>
    <row r="16" spans="1:9" x14ac:dyDescent="0.3">
      <c r="A16" s="27" t="s">
        <v>79</v>
      </c>
      <c r="B16" s="27" t="s">
        <v>10</v>
      </c>
      <c r="C16" s="27" t="s">
        <v>14</v>
      </c>
      <c r="D16" s="27">
        <v>1500</v>
      </c>
      <c r="E16" s="27">
        <v>8</v>
      </c>
      <c r="F16" s="27">
        <v>0.55000000000000004</v>
      </c>
      <c r="G16" s="28">
        <f t="shared" si="0"/>
        <v>0.7</v>
      </c>
      <c r="H16" s="28">
        <f t="shared" si="1"/>
        <v>0.44444444444444442</v>
      </c>
      <c r="I16" s="29">
        <f t="shared" si="2"/>
        <v>0.58444444444444443</v>
      </c>
    </row>
    <row r="17" spans="1:9" x14ac:dyDescent="0.3">
      <c r="A17" s="27" t="s">
        <v>80</v>
      </c>
      <c r="B17" s="27" t="s">
        <v>10</v>
      </c>
      <c r="C17" s="27" t="s">
        <v>82</v>
      </c>
      <c r="D17" s="27">
        <v>3500</v>
      </c>
      <c r="E17" s="27">
        <v>14</v>
      </c>
      <c r="F17" s="27">
        <v>0.55000000000000004</v>
      </c>
      <c r="G17" s="28">
        <f t="shared" si="0"/>
        <v>0.30000000000000004</v>
      </c>
      <c r="H17" s="28">
        <f t="shared" si="1"/>
        <v>0.77777777777777779</v>
      </c>
      <c r="I17" s="29">
        <f t="shared" si="2"/>
        <v>0.49777777777777782</v>
      </c>
    </row>
    <row r="18" spans="1:9" x14ac:dyDescent="0.3">
      <c r="A18" s="27" t="s">
        <v>81</v>
      </c>
      <c r="B18" s="27" t="s">
        <v>10</v>
      </c>
      <c r="C18" s="27" t="s">
        <v>15</v>
      </c>
      <c r="D18" s="27">
        <v>3000</v>
      </c>
      <c r="E18" s="27">
        <v>10</v>
      </c>
      <c r="F18" s="27">
        <v>0.55000000000000004</v>
      </c>
      <c r="G18" s="28">
        <f t="shared" si="0"/>
        <v>0.4</v>
      </c>
      <c r="H18" s="28">
        <f t="shared" si="1"/>
        <v>0.55555555555555558</v>
      </c>
      <c r="I18" s="29">
        <f t="shared" si="2"/>
        <v>0.50555555555555554</v>
      </c>
    </row>
    <row r="19" spans="1:9" x14ac:dyDescent="0.3">
      <c r="A19" s="18" t="s">
        <v>28</v>
      </c>
      <c r="B19" s="19" t="s">
        <v>12</v>
      </c>
      <c r="C19" s="19" t="s">
        <v>9</v>
      </c>
      <c r="D19" s="19">
        <v>100</v>
      </c>
      <c r="E19" s="19">
        <v>8</v>
      </c>
      <c r="F19" s="19">
        <v>0.79</v>
      </c>
      <c r="G19" s="19">
        <f t="shared" si="0"/>
        <v>0.98</v>
      </c>
      <c r="H19" s="19">
        <f t="shared" si="1"/>
        <v>0.44444444444444442</v>
      </c>
      <c r="I19" s="20">
        <f t="shared" si="2"/>
        <v>0.81244444444444441</v>
      </c>
    </row>
    <row r="20" spans="1:9" x14ac:dyDescent="0.3">
      <c r="A20" s="18" t="s">
        <v>29</v>
      </c>
      <c r="B20" s="19" t="s">
        <v>12</v>
      </c>
      <c r="C20" s="19" t="s">
        <v>9</v>
      </c>
      <c r="D20" s="19">
        <v>500</v>
      </c>
      <c r="E20" s="19">
        <v>9</v>
      </c>
      <c r="F20" s="19">
        <v>0.79</v>
      </c>
      <c r="G20" s="19">
        <f t="shared" si="0"/>
        <v>0.9</v>
      </c>
      <c r="H20" s="19">
        <f t="shared" si="1"/>
        <v>0.5</v>
      </c>
      <c r="I20" s="20">
        <f t="shared" si="2"/>
        <v>0.79400000000000004</v>
      </c>
    </row>
    <row r="21" spans="1:9" x14ac:dyDescent="0.3">
      <c r="A21" s="18" t="s">
        <v>30</v>
      </c>
      <c r="B21" s="19" t="s">
        <v>12</v>
      </c>
      <c r="C21" s="19" t="s">
        <v>9</v>
      </c>
      <c r="D21" s="19">
        <v>1000</v>
      </c>
      <c r="E21" s="19">
        <v>2</v>
      </c>
      <c r="F21" s="19">
        <v>0.79</v>
      </c>
      <c r="G21" s="19">
        <f t="shared" si="0"/>
        <v>0.8</v>
      </c>
      <c r="H21" s="19">
        <f t="shared" si="1"/>
        <v>0.1111111111111111</v>
      </c>
      <c r="I21" s="20">
        <f t="shared" si="2"/>
        <v>0.72511111111111104</v>
      </c>
    </row>
    <row r="22" spans="1:9" x14ac:dyDescent="0.3">
      <c r="A22" s="13" t="s">
        <v>31</v>
      </c>
      <c r="B22" s="3" t="s">
        <v>69</v>
      </c>
      <c r="C22" s="3" t="s">
        <v>9</v>
      </c>
      <c r="D22" s="3">
        <v>250</v>
      </c>
      <c r="E22" s="3">
        <v>4</v>
      </c>
      <c r="F22" s="3">
        <v>0.66</v>
      </c>
      <c r="G22" s="3">
        <f t="shared" si="0"/>
        <v>0.95</v>
      </c>
      <c r="H22" s="3">
        <f t="shared" si="1"/>
        <v>0.22222222222222221</v>
      </c>
      <c r="I22" s="4">
        <f t="shared" si="2"/>
        <v>0.7032222222222223</v>
      </c>
    </row>
    <row r="23" spans="1:9" x14ac:dyDescent="0.3">
      <c r="A23" s="13" t="s">
        <v>54</v>
      </c>
      <c r="B23" s="3" t="s">
        <v>69</v>
      </c>
      <c r="C23" s="3" t="s">
        <v>9</v>
      </c>
      <c r="D23" s="3">
        <v>200</v>
      </c>
      <c r="E23" s="3">
        <v>4</v>
      </c>
      <c r="F23" s="3">
        <v>0.65</v>
      </c>
      <c r="G23" s="3">
        <f t="shared" si="0"/>
        <v>0.96</v>
      </c>
      <c r="H23" s="3">
        <f t="shared" si="1"/>
        <v>0.22222222222222221</v>
      </c>
      <c r="I23" s="4">
        <f t="shared" si="2"/>
        <v>0.70022222222222219</v>
      </c>
    </row>
    <row r="24" spans="1:9" x14ac:dyDescent="0.3">
      <c r="A24" s="13" t="s">
        <v>33</v>
      </c>
      <c r="B24" s="3" t="s">
        <v>69</v>
      </c>
      <c r="C24" s="3" t="s">
        <v>9</v>
      </c>
      <c r="D24" s="3">
        <v>500</v>
      </c>
      <c r="E24" s="3">
        <v>1</v>
      </c>
      <c r="F24" s="3">
        <v>0.65</v>
      </c>
      <c r="G24" s="3">
        <f t="shared" si="0"/>
        <v>0.9</v>
      </c>
      <c r="H24" s="3">
        <f t="shared" si="1"/>
        <v>5.5555555555555552E-2</v>
      </c>
      <c r="I24" s="4">
        <f t="shared" si="2"/>
        <v>0.66555555555555557</v>
      </c>
    </row>
    <row r="25" spans="1:9" x14ac:dyDescent="0.3">
      <c r="A25" s="13" t="s">
        <v>34</v>
      </c>
      <c r="B25" s="3" t="s">
        <v>69</v>
      </c>
      <c r="C25" s="3" t="s">
        <v>9</v>
      </c>
      <c r="D25" s="3">
        <v>3000</v>
      </c>
      <c r="E25" s="3">
        <v>4</v>
      </c>
      <c r="F25" s="3">
        <v>0.65</v>
      </c>
      <c r="G25" s="3">
        <f t="shared" si="0"/>
        <v>0.4</v>
      </c>
      <c r="H25" s="3">
        <f t="shared" si="1"/>
        <v>0.22222222222222221</v>
      </c>
      <c r="I25" s="4">
        <f t="shared" si="2"/>
        <v>0.53222222222222226</v>
      </c>
    </row>
    <row r="26" spans="1:9" x14ac:dyDescent="0.3">
      <c r="A26" s="13" t="s">
        <v>32</v>
      </c>
      <c r="B26" s="3" t="s">
        <v>69</v>
      </c>
      <c r="C26" s="3" t="s">
        <v>9</v>
      </c>
      <c r="D26" s="3">
        <v>1000</v>
      </c>
      <c r="E26" s="3">
        <v>11</v>
      </c>
      <c r="F26" s="3">
        <v>0.65</v>
      </c>
      <c r="G26" s="3">
        <f t="shared" si="0"/>
        <v>0.8</v>
      </c>
      <c r="H26" s="3">
        <f t="shared" si="1"/>
        <v>0.61111111111111116</v>
      </c>
      <c r="I26" s="4">
        <f t="shared" si="2"/>
        <v>0.69111111111111112</v>
      </c>
    </row>
    <row r="27" spans="1:9" x14ac:dyDescent="0.3">
      <c r="A27" s="14" t="s">
        <v>38</v>
      </c>
      <c r="B27" s="5" t="s">
        <v>13</v>
      </c>
      <c r="C27" s="5" t="s">
        <v>14</v>
      </c>
      <c r="D27" s="5">
        <v>500</v>
      </c>
      <c r="E27" s="5">
        <v>2</v>
      </c>
      <c r="F27" s="5">
        <v>0.75</v>
      </c>
      <c r="G27" s="5">
        <f t="shared" si="0"/>
        <v>0.9</v>
      </c>
      <c r="H27" s="5">
        <f t="shared" si="1"/>
        <v>0.1111111111111111</v>
      </c>
      <c r="I27" s="6">
        <f t="shared" si="2"/>
        <v>0.73111111111111104</v>
      </c>
    </row>
    <row r="28" spans="1:9" x14ac:dyDescent="0.3">
      <c r="A28" s="14" t="s">
        <v>40</v>
      </c>
      <c r="B28" s="5" t="s">
        <v>13</v>
      </c>
      <c r="C28" s="5" t="s">
        <v>14</v>
      </c>
      <c r="D28" s="5">
        <v>500</v>
      </c>
      <c r="E28" s="5">
        <v>1</v>
      </c>
      <c r="F28" s="5">
        <v>0.75</v>
      </c>
      <c r="G28" s="5">
        <f t="shared" si="0"/>
        <v>0.9</v>
      </c>
      <c r="H28" s="5">
        <f t="shared" si="1"/>
        <v>5.5555555555555552E-2</v>
      </c>
      <c r="I28" s="6">
        <f t="shared" si="2"/>
        <v>0.72555555555555551</v>
      </c>
    </row>
    <row r="29" spans="1:9" x14ac:dyDescent="0.3">
      <c r="A29" s="14" t="s">
        <v>39</v>
      </c>
      <c r="B29" s="5" t="s">
        <v>13</v>
      </c>
      <c r="C29" s="5" t="s">
        <v>14</v>
      </c>
      <c r="D29" s="5">
        <v>500</v>
      </c>
      <c r="E29" s="5">
        <v>2</v>
      </c>
      <c r="F29" s="5">
        <v>0.75</v>
      </c>
      <c r="G29" s="5">
        <f t="shared" si="0"/>
        <v>0.9</v>
      </c>
      <c r="H29" s="5">
        <f t="shared" si="1"/>
        <v>0.1111111111111111</v>
      </c>
      <c r="I29" s="6">
        <f t="shared" si="2"/>
        <v>0.73111111111111104</v>
      </c>
    </row>
    <row r="30" spans="1:9" x14ac:dyDescent="0.3">
      <c r="A30" s="14" t="s">
        <v>36</v>
      </c>
      <c r="B30" s="5" t="s">
        <v>13</v>
      </c>
      <c r="C30" s="5" t="s">
        <v>14</v>
      </c>
      <c r="D30" s="5">
        <v>500</v>
      </c>
      <c r="E30" s="5">
        <v>7</v>
      </c>
      <c r="F30" s="5">
        <v>0.69</v>
      </c>
      <c r="G30" s="5">
        <f t="shared" si="0"/>
        <v>0.9</v>
      </c>
      <c r="H30" s="5">
        <f t="shared" si="1"/>
        <v>0.3888888888888889</v>
      </c>
      <c r="I30" s="6">
        <f t="shared" si="2"/>
        <v>0.7228888888888888</v>
      </c>
    </row>
    <row r="31" spans="1:9" x14ac:dyDescent="0.3">
      <c r="A31" s="14" t="s">
        <v>43</v>
      </c>
      <c r="B31" s="5" t="s">
        <v>13</v>
      </c>
      <c r="C31" s="5" t="s">
        <v>16</v>
      </c>
      <c r="D31" s="5">
        <v>500</v>
      </c>
      <c r="E31" s="5">
        <v>10</v>
      </c>
      <c r="F31" s="5">
        <v>0.7</v>
      </c>
      <c r="G31" s="5">
        <f t="shared" si="0"/>
        <v>0.9</v>
      </c>
      <c r="H31" s="5">
        <f t="shared" si="1"/>
        <v>0.55555555555555558</v>
      </c>
      <c r="I31" s="6">
        <f t="shared" si="2"/>
        <v>0.74555555555555553</v>
      </c>
    </row>
    <row r="32" spans="1:9" x14ac:dyDescent="0.3">
      <c r="A32" s="14" t="s">
        <v>42</v>
      </c>
      <c r="B32" s="5" t="s">
        <v>13</v>
      </c>
      <c r="C32" s="5" t="s">
        <v>15</v>
      </c>
      <c r="D32" s="5">
        <v>500</v>
      </c>
      <c r="E32" s="5">
        <v>4</v>
      </c>
      <c r="F32" s="5">
        <v>0.65</v>
      </c>
      <c r="G32" s="5">
        <f t="shared" si="0"/>
        <v>0.9</v>
      </c>
      <c r="H32" s="5">
        <f t="shared" si="1"/>
        <v>0.22222222222222221</v>
      </c>
      <c r="I32" s="6">
        <f t="shared" si="2"/>
        <v>0.68222222222222229</v>
      </c>
    </row>
    <row r="33" spans="1:9" x14ac:dyDescent="0.3">
      <c r="A33" s="14" t="s">
        <v>41</v>
      </c>
      <c r="B33" s="5" t="s">
        <v>13</v>
      </c>
      <c r="C33" s="5" t="s">
        <v>9</v>
      </c>
      <c r="D33" s="5">
        <v>500</v>
      </c>
      <c r="E33" s="5">
        <v>1</v>
      </c>
      <c r="F33" s="5">
        <v>0.69</v>
      </c>
      <c r="G33" s="5">
        <f t="shared" si="0"/>
        <v>0.9</v>
      </c>
      <c r="H33" s="5">
        <f t="shared" si="1"/>
        <v>5.5555555555555552E-2</v>
      </c>
      <c r="I33" s="6">
        <f t="shared" si="2"/>
        <v>0.68955555555555548</v>
      </c>
    </row>
    <row r="34" spans="1:9" x14ac:dyDescent="0.3">
      <c r="A34" s="14" t="s">
        <v>35</v>
      </c>
      <c r="B34" s="5" t="s">
        <v>13</v>
      </c>
      <c r="C34" s="5" t="s">
        <v>14</v>
      </c>
      <c r="D34" s="5">
        <v>500</v>
      </c>
      <c r="E34" s="5">
        <v>10</v>
      </c>
      <c r="F34" s="5">
        <v>0.75</v>
      </c>
      <c r="G34" s="5">
        <f t="shared" ref="G34:G63" si="3">1 - (D34 / MAX($D$2:$D$63))</f>
        <v>0.9</v>
      </c>
      <c r="H34" s="5">
        <f t="shared" ref="H34:H63" si="4">E34/MAX($E$2:$E$63)</f>
        <v>0.55555555555555558</v>
      </c>
      <c r="I34" s="6">
        <f t="shared" si="2"/>
        <v>0.77555555555555555</v>
      </c>
    </row>
    <row r="35" spans="1:9" x14ac:dyDescent="0.3">
      <c r="A35" s="14" t="s">
        <v>37</v>
      </c>
      <c r="B35" s="5" t="s">
        <v>13</v>
      </c>
      <c r="C35" s="5" t="s">
        <v>14</v>
      </c>
      <c r="D35" s="5">
        <v>500</v>
      </c>
      <c r="E35" s="5">
        <v>3</v>
      </c>
      <c r="F35" s="5">
        <v>0.75</v>
      </c>
      <c r="G35" s="5">
        <f t="shared" si="3"/>
        <v>0.9</v>
      </c>
      <c r="H35" s="5">
        <f t="shared" si="4"/>
        <v>0.16666666666666666</v>
      </c>
      <c r="I35" s="6">
        <f t="shared" si="2"/>
        <v>0.73666666666666669</v>
      </c>
    </row>
    <row r="36" spans="1:9" x14ac:dyDescent="0.3">
      <c r="A36" s="14" t="s">
        <v>44</v>
      </c>
      <c r="B36" s="5" t="s">
        <v>13</v>
      </c>
      <c r="C36" s="5" t="s">
        <v>17</v>
      </c>
      <c r="D36" s="5">
        <v>4000</v>
      </c>
      <c r="E36" s="5">
        <v>6</v>
      </c>
      <c r="F36" s="5">
        <v>0.75</v>
      </c>
      <c r="G36" s="5">
        <f t="shared" si="3"/>
        <v>0.19999999999999996</v>
      </c>
      <c r="H36" s="5">
        <f t="shared" si="4"/>
        <v>0.33333333333333331</v>
      </c>
      <c r="I36" s="6">
        <f t="shared" si="2"/>
        <v>0.54333333333333322</v>
      </c>
    </row>
    <row r="37" spans="1:9" x14ac:dyDescent="0.3">
      <c r="A37" s="15" t="s">
        <v>45</v>
      </c>
      <c r="B37" s="7" t="s">
        <v>18</v>
      </c>
      <c r="C37" s="7" t="s">
        <v>19</v>
      </c>
      <c r="D37" s="7">
        <v>3000</v>
      </c>
      <c r="E37" s="7">
        <v>4</v>
      </c>
      <c r="F37" s="7">
        <v>0.95</v>
      </c>
      <c r="G37" s="7">
        <f t="shared" si="3"/>
        <v>0.4</v>
      </c>
      <c r="H37" s="7">
        <f t="shared" si="4"/>
        <v>0.22222222222222221</v>
      </c>
      <c r="I37" s="8">
        <f t="shared" si="2"/>
        <v>0.7122222222222222</v>
      </c>
    </row>
    <row r="38" spans="1:9" x14ac:dyDescent="0.3">
      <c r="A38" s="15" t="s">
        <v>46</v>
      </c>
      <c r="B38" s="7" t="s">
        <v>18</v>
      </c>
      <c r="C38" s="7" t="s">
        <v>20</v>
      </c>
      <c r="D38" s="7">
        <v>3000</v>
      </c>
      <c r="E38" s="7">
        <v>3</v>
      </c>
      <c r="F38" s="7">
        <v>0.95</v>
      </c>
      <c r="G38" s="7">
        <f t="shared" si="3"/>
        <v>0.4</v>
      </c>
      <c r="H38" s="7">
        <f t="shared" si="4"/>
        <v>0.16666666666666666</v>
      </c>
      <c r="I38" s="8">
        <f t="shared" si="2"/>
        <v>0.70666666666666667</v>
      </c>
    </row>
    <row r="39" spans="1:9" x14ac:dyDescent="0.3">
      <c r="A39" s="15" t="s">
        <v>83</v>
      </c>
      <c r="B39" s="15" t="s">
        <v>18</v>
      </c>
      <c r="C39" s="15" t="s">
        <v>20</v>
      </c>
      <c r="D39" s="15">
        <v>1500</v>
      </c>
      <c r="E39" s="15">
        <v>7</v>
      </c>
      <c r="F39" s="15">
        <v>0.9</v>
      </c>
      <c r="G39" s="7">
        <f t="shared" si="3"/>
        <v>0.7</v>
      </c>
      <c r="H39" s="7">
        <f t="shared" si="4"/>
        <v>0.3888888888888889</v>
      </c>
      <c r="I39" s="8">
        <f t="shared" si="2"/>
        <v>0.78888888888888886</v>
      </c>
    </row>
    <row r="40" spans="1:9" x14ac:dyDescent="0.3">
      <c r="A40" s="15" t="s">
        <v>84</v>
      </c>
      <c r="B40" s="15" t="s">
        <v>18</v>
      </c>
      <c r="C40" s="15" t="s">
        <v>25</v>
      </c>
      <c r="D40" s="15">
        <v>2000</v>
      </c>
      <c r="E40" s="15">
        <v>6</v>
      </c>
      <c r="F40" s="15">
        <v>0.92</v>
      </c>
      <c r="G40" s="7">
        <f t="shared" si="3"/>
        <v>0.6</v>
      </c>
      <c r="H40" s="7">
        <f t="shared" si="4"/>
        <v>0.33333333333333331</v>
      </c>
      <c r="I40" s="8">
        <f t="shared" si="2"/>
        <v>0.76533333333333331</v>
      </c>
    </row>
    <row r="41" spans="1:9" x14ac:dyDescent="0.3">
      <c r="A41" s="15" t="s">
        <v>85</v>
      </c>
      <c r="B41" s="15" t="s">
        <v>18</v>
      </c>
      <c r="C41" s="15" t="s">
        <v>20</v>
      </c>
      <c r="D41" s="15">
        <v>4000</v>
      </c>
      <c r="E41" s="15">
        <v>9</v>
      </c>
      <c r="F41" s="15">
        <v>0.95</v>
      </c>
      <c r="G41" s="7">
        <f t="shared" si="3"/>
        <v>0.19999999999999996</v>
      </c>
      <c r="H41" s="7">
        <f t="shared" si="4"/>
        <v>0.5</v>
      </c>
      <c r="I41" s="8">
        <f t="shared" si="2"/>
        <v>0.67999999999999994</v>
      </c>
    </row>
    <row r="42" spans="1:9" x14ac:dyDescent="0.3">
      <c r="A42" s="15" t="s">
        <v>86</v>
      </c>
      <c r="B42" s="15" t="s">
        <v>18</v>
      </c>
      <c r="C42" s="15" t="s">
        <v>87</v>
      </c>
      <c r="D42" s="15">
        <v>2500</v>
      </c>
      <c r="E42" s="15">
        <v>5</v>
      </c>
      <c r="F42" s="15">
        <v>0.92</v>
      </c>
      <c r="G42" s="7">
        <f t="shared" si="3"/>
        <v>0.5</v>
      </c>
      <c r="H42" s="7">
        <f t="shared" si="4"/>
        <v>0.27777777777777779</v>
      </c>
      <c r="I42" s="8">
        <f t="shared" si="2"/>
        <v>0.72977777777777786</v>
      </c>
    </row>
    <row r="43" spans="1:9" x14ac:dyDescent="0.3">
      <c r="A43" s="16" t="s">
        <v>50</v>
      </c>
      <c r="B43" s="9" t="s">
        <v>91</v>
      </c>
      <c r="C43" s="9" t="s">
        <v>21</v>
      </c>
      <c r="D43" s="9">
        <v>5000</v>
      </c>
      <c r="E43" s="9">
        <v>3</v>
      </c>
      <c r="F43" s="9">
        <v>0.8</v>
      </c>
      <c r="G43" s="9">
        <f t="shared" si="3"/>
        <v>0</v>
      </c>
      <c r="H43" s="9">
        <f t="shared" si="4"/>
        <v>0.16666666666666666</v>
      </c>
      <c r="I43" s="10">
        <f t="shared" si="2"/>
        <v>0.49666666666666665</v>
      </c>
    </row>
    <row r="44" spans="1:9" x14ac:dyDescent="0.3">
      <c r="A44" s="16" t="s">
        <v>92</v>
      </c>
      <c r="B44" s="16" t="s">
        <v>91</v>
      </c>
      <c r="C44" s="16" t="s">
        <v>87</v>
      </c>
      <c r="D44" s="16">
        <v>1500</v>
      </c>
      <c r="E44" s="16">
        <v>4</v>
      </c>
      <c r="F44" s="16">
        <v>0.8</v>
      </c>
      <c r="G44" s="9">
        <f t="shared" si="3"/>
        <v>0.7</v>
      </c>
      <c r="H44" s="9">
        <f t="shared" si="4"/>
        <v>0.22222222222222221</v>
      </c>
      <c r="I44" s="10">
        <f t="shared" si="2"/>
        <v>0.7122222222222222</v>
      </c>
    </row>
    <row r="45" spans="1:9" x14ac:dyDescent="0.3">
      <c r="A45" s="16" t="s">
        <v>93</v>
      </c>
      <c r="B45" s="16" t="s">
        <v>91</v>
      </c>
      <c r="C45" s="16" t="s">
        <v>21</v>
      </c>
      <c r="D45" s="16">
        <v>2000</v>
      </c>
      <c r="E45" s="16">
        <v>5</v>
      </c>
      <c r="F45" s="16">
        <v>0.8</v>
      </c>
      <c r="G45" s="9">
        <f t="shared" si="3"/>
        <v>0.6</v>
      </c>
      <c r="H45" s="9">
        <f t="shared" si="4"/>
        <v>0.27777777777777779</v>
      </c>
      <c r="I45" s="10">
        <f t="shared" si="2"/>
        <v>0.68777777777777771</v>
      </c>
    </row>
    <row r="46" spans="1:9" x14ac:dyDescent="0.3">
      <c r="A46" s="16" t="s">
        <v>94</v>
      </c>
      <c r="B46" s="16" t="s">
        <v>91</v>
      </c>
      <c r="C46" s="16" t="s">
        <v>21</v>
      </c>
      <c r="D46" s="16">
        <v>3000</v>
      </c>
      <c r="E46" s="16">
        <v>6</v>
      </c>
      <c r="F46" s="16">
        <v>0.8</v>
      </c>
      <c r="G46" s="9">
        <f t="shared" si="3"/>
        <v>0.4</v>
      </c>
      <c r="H46" s="9">
        <f t="shared" si="4"/>
        <v>0.33333333333333331</v>
      </c>
      <c r="I46" s="10">
        <f t="shared" si="2"/>
        <v>0.6333333333333333</v>
      </c>
    </row>
    <row r="47" spans="1:9" x14ac:dyDescent="0.3">
      <c r="A47" s="24" t="s">
        <v>49</v>
      </c>
      <c r="B47" s="25" t="s">
        <v>73</v>
      </c>
      <c r="C47" s="25" t="s">
        <v>21</v>
      </c>
      <c r="D47" s="25">
        <v>1500</v>
      </c>
      <c r="E47" s="25">
        <v>10</v>
      </c>
      <c r="F47" s="25">
        <v>0.9</v>
      </c>
      <c r="G47" s="25">
        <f t="shared" si="3"/>
        <v>0.7</v>
      </c>
      <c r="H47" s="25">
        <f t="shared" si="4"/>
        <v>0.55555555555555558</v>
      </c>
      <c r="I47" s="26">
        <f t="shared" si="2"/>
        <v>0.80555555555555558</v>
      </c>
    </row>
    <row r="48" spans="1:9" x14ac:dyDescent="0.3">
      <c r="A48" s="24" t="s">
        <v>48</v>
      </c>
      <c r="B48" s="25" t="s">
        <v>73</v>
      </c>
      <c r="C48" s="25" t="s">
        <v>21</v>
      </c>
      <c r="D48" s="25">
        <v>1500</v>
      </c>
      <c r="E48" s="25">
        <v>10</v>
      </c>
      <c r="F48" s="25">
        <v>0.9</v>
      </c>
      <c r="G48" s="25">
        <f t="shared" si="3"/>
        <v>0.7</v>
      </c>
      <c r="H48" s="25">
        <f t="shared" si="4"/>
        <v>0.55555555555555558</v>
      </c>
      <c r="I48" s="26">
        <f t="shared" si="2"/>
        <v>0.80555555555555558</v>
      </c>
    </row>
    <row r="49" spans="1:9" x14ac:dyDescent="0.3">
      <c r="A49" s="24" t="s">
        <v>47</v>
      </c>
      <c r="B49" s="25" t="s">
        <v>73</v>
      </c>
      <c r="C49" s="25" t="s">
        <v>21</v>
      </c>
      <c r="D49" s="25">
        <v>1000</v>
      </c>
      <c r="E49" s="25">
        <v>18</v>
      </c>
      <c r="F49" s="25">
        <v>0.9</v>
      </c>
      <c r="G49" s="25">
        <f t="shared" si="3"/>
        <v>0.8</v>
      </c>
      <c r="H49" s="25">
        <f t="shared" si="4"/>
        <v>1</v>
      </c>
      <c r="I49" s="26">
        <f t="shared" si="2"/>
        <v>0.88</v>
      </c>
    </row>
    <row r="50" spans="1:9" x14ac:dyDescent="0.3">
      <c r="A50" s="24" t="s">
        <v>88</v>
      </c>
      <c r="B50" s="24" t="s">
        <v>73</v>
      </c>
      <c r="C50" s="24" t="s">
        <v>21</v>
      </c>
      <c r="D50" s="24">
        <v>1000</v>
      </c>
      <c r="E50" s="24">
        <v>12</v>
      </c>
      <c r="F50" s="24">
        <v>0.9</v>
      </c>
      <c r="G50" s="25">
        <f t="shared" si="3"/>
        <v>0.8</v>
      </c>
      <c r="H50" s="25">
        <f t="shared" si="4"/>
        <v>0.66666666666666663</v>
      </c>
      <c r="I50" s="26">
        <f t="shared" si="2"/>
        <v>0.84666666666666668</v>
      </c>
    </row>
    <row r="51" spans="1:9" x14ac:dyDescent="0.3">
      <c r="A51" s="24" t="s">
        <v>89</v>
      </c>
      <c r="B51" s="24" t="s">
        <v>73</v>
      </c>
      <c r="C51" s="24" t="s">
        <v>21</v>
      </c>
      <c r="D51" s="24">
        <v>800</v>
      </c>
      <c r="E51" s="24">
        <v>6</v>
      </c>
      <c r="F51" s="24">
        <v>0.9</v>
      </c>
      <c r="G51" s="25">
        <f t="shared" si="3"/>
        <v>0.84</v>
      </c>
      <c r="H51" s="25">
        <f t="shared" si="4"/>
        <v>0.33333333333333331</v>
      </c>
      <c r="I51" s="26">
        <f t="shared" si="2"/>
        <v>0.82533333333333336</v>
      </c>
    </row>
    <row r="52" spans="1:9" x14ac:dyDescent="0.3">
      <c r="A52" s="24" t="s">
        <v>90</v>
      </c>
      <c r="B52" s="24" t="s">
        <v>73</v>
      </c>
      <c r="C52" s="24" t="s">
        <v>21</v>
      </c>
      <c r="D52" s="24">
        <v>1500</v>
      </c>
      <c r="E52" s="24">
        <v>8</v>
      </c>
      <c r="F52" s="24">
        <v>0.9</v>
      </c>
      <c r="G52" s="25">
        <f t="shared" si="3"/>
        <v>0.7</v>
      </c>
      <c r="H52" s="25">
        <f t="shared" si="4"/>
        <v>0.44444444444444442</v>
      </c>
      <c r="I52" s="26">
        <f t="shared" si="2"/>
        <v>0.7944444444444444</v>
      </c>
    </row>
    <row r="53" spans="1:9" x14ac:dyDescent="0.3">
      <c r="A53" s="21" t="s">
        <v>52</v>
      </c>
      <c r="B53" s="22" t="s">
        <v>22</v>
      </c>
      <c r="C53" s="22" t="s">
        <v>9</v>
      </c>
      <c r="D53" s="22">
        <v>500</v>
      </c>
      <c r="E53" s="22">
        <v>4</v>
      </c>
      <c r="F53" s="22">
        <v>0.55000000000000004</v>
      </c>
      <c r="G53" s="22">
        <f t="shared" si="3"/>
        <v>0.9</v>
      </c>
      <c r="H53" s="22">
        <f t="shared" si="4"/>
        <v>0.22222222222222221</v>
      </c>
      <c r="I53" s="23">
        <f t="shared" si="2"/>
        <v>0.62222222222222234</v>
      </c>
    </row>
    <row r="54" spans="1:9" x14ac:dyDescent="0.3">
      <c r="A54" s="21" t="s">
        <v>51</v>
      </c>
      <c r="B54" s="22" t="s">
        <v>22</v>
      </c>
      <c r="C54" s="22" t="s">
        <v>9</v>
      </c>
      <c r="D54" s="22">
        <v>500</v>
      </c>
      <c r="E54" s="22">
        <v>6</v>
      </c>
      <c r="F54" s="22">
        <v>0.55000000000000004</v>
      </c>
      <c r="G54" s="22">
        <f t="shared" si="3"/>
        <v>0.9</v>
      </c>
      <c r="H54" s="22">
        <f t="shared" si="4"/>
        <v>0.33333333333333331</v>
      </c>
      <c r="I54" s="23">
        <f t="shared" si="2"/>
        <v>0.63333333333333341</v>
      </c>
    </row>
    <row r="55" spans="1:9" x14ac:dyDescent="0.3">
      <c r="A55" s="17" t="s">
        <v>53</v>
      </c>
      <c r="B55" s="11" t="s">
        <v>23</v>
      </c>
      <c r="C55" s="11" t="s">
        <v>9</v>
      </c>
      <c r="D55" s="11">
        <v>500</v>
      </c>
      <c r="E55" s="11">
        <v>6</v>
      </c>
      <c r="F55" s="11">
        <v>0.75</v>
      </c>
      <c r="G55" s="11">
        <f t="shared" si="3"/>
        <v>0.9</v>
      </c>
      <c r="H55" s="11">
        <f t="shared" si="4"/>
        <v>0.33333333333333331</v>
      </c>
      <c r="I55" s="12">
        <f t="shared" si="2"/>
        <v>0.7533333333333333</v>
      </c>
    </row>
    <row r="56" spans="1:9" x14ac:dyDescent="0.3">
      <c r="A56" s="17" t="s">
        <v>62</v>
      </c>
      <c r="B56" s="11" t="s">
        <v>23</v>
      </c>
      <c r="C56" s="11" t="s">
        <v>9</v>
      </c>
      <c r="D56" s="11">
        <v>500</v>
      </c>
      <c r="E56" s="11">
        <v>2</v>
      </c>
      <c r="F56" s="11">
        <v>0.7</v>
      </c>
      <c r="G56" s="11">
        <f t="shared" si="3"/>
        <v>0.9</v>
      </c>
      <c r="H56" s="11">
        <f t="shared" si="4"/>
        <v>0.1111111111111111</v>
      </c>
      <c r="I56" s="12">
        <f t="shared" si="2"/>
        <v>0.70111111111111102</v>
      </c>
    </row>
    <row r="57" spans="1:9" x14ac:dyDescent="0.3">
      <c r="A57" s="17" t="s">
        <v>67</v>
      </c>
      <c r="B57" s="11" t="s">
        <v>23</v>
      </c>
      <c r="C57" s="11" t="s">
        <v>25</v>
      </c>
      <c r="D57" s="11">
        <v>500</v>
      </c>
      <c r="E57" s="11">
        <v>12</v>
      </c>
      <c r="F57" s="11">
        <v>0.66</v>
      </c>
      <c r="G57" s="11">
        <f t="shared" si="3"/>
        <v>0.9</v>
      </c>
      <c r="H57" s="11">
        <f t="shared" si="4"/>
        <v>0.66666666666666663</v>
      </c>
      <c r="I57" s="12">
        <f t="shared" si="2"/>
        <v>0.73266666666666669</v>
      </c>
    </row>
    <row r="58" spans="1:9" x14ac:dyDescent="0.3">
      <c r="A58" s="17" t="s">
        <v>61</v>
      </c>
      <c r="B58" s="11" t="s">
        <v>23</v>
      </c>
      <c r="C58" s="11" t="s">
        <v>9</v>
      </c>
      <c r="D58" s="11">
        <v>500</v>
      </c>
      <c r="E58" s="11">
        <v>1</v>
      </c>
      <c r="F58" s="11">
        <v>0.69</v>
      </c>
      <c r="G58" s="11">
        <f t="shared" si="3"/>
        <v>0.9</v>
      </c>
      <c r="H58" s="11">
        <f t="shared" si="4"/>
        <v>5.5555555555555552E-2</v>
      </c>
      <c r="I58" s="12">
        <f t="shared" si="2"/>
        <v>0.68955555555555548</v>
      </c>
    </row>
    <row r="59" spans="1:9" x14ac:dyDescent="0.3">
      <c r="A59" s="17" t="s">
        <v>59</v>
      </c>
      <c r="B59" s="11" t="s">
        <v>23</v>
      </c>
      <c r="C59" s="11" t="s">
        <v>9</v>
      </c>
      <c r="D59" s="11">
        <v>500</v>
      </c>
      <c r="E59" s="11">
        <v>1</v>
      </c>
      <c r="F59" s="11">
        <v>0.69</v>
      </c>
      <c r="G59" s="11">
        <f t="shared" si="3"/>
        <v>0.9</v>
      </c>
      <c r="H59" s="11">
        <f t="shared" si="4"/>
        <v>5.5555555555555552E-2</v>
      </c>
      <c r="I59" s="12">
        <f t="shared" si="2"/>
        <v>0.68955555555555548</v>
      </c>
    </row>
    <row r="60" spans="1:9" x14ac:dyDescent="0.3">
      <c r="A60" s="17" t="s">
        <v>68</v>
      </c>
      <c r="B60" s="11" t="s">
        <v>23</v>
      </c>
      <c r="C60" s="11" t="s">
        <v>19</v>
      </c>
      <c r="D60" s="11">
        <v>500</v>
      </c>
      <c r="E60" s="11">
        <v>4</v>
      </c>
      <c r="F60" s="11">
        <v>0.75</v>
      </c>
      <c r="G60" s="11">
        <f t="shared" si="3"/>
        <v>0.9</v>
      </c>
      <c r="H60" s="11">
        <f t="shared" si="4"/>
        <v>0.22222222222222221</v>
      </c>
      <c r="I60" s="12">
        <f t="shared" si="2"/>
        <v>0.74222222222222223</v>
      </c>
    </row>
    <row r="61" spans="1:9" x14ac:dyDescent="0.3">
      <c r="A61" s="17" t="s">
        <v>63</v>
      </c>
      <c r="B61" s="11" t="s">
        <v>23</v>
      </c>
      <c r="C61" s="11" t="s">
        <v>9</v>
      </c>
      <c r="D61" s="11">
        <v>700</v>
      </c>
      <c r="E61" s="11">
        <v>2</v>
      </c>
      <c r="F61" s="11">
        <v>0.69</v>
      </c>
      <c r="G61" s="11">
        <f t="shared" si="3"/>
        <v>0.86</v>
      </c>
      <c r="H61" s="11">
        <f t="shared" si="4"/>
        <v>0.1111111111111111</v>
      </c>
      <c r="I61" s="12">
        <f t="shared" si="2"/>
        <v>0.683111111111111</v>
      </c>
    </row>
    <row r="62" spans="1:9" x14ac:dyDescent="0.3">
      <c r="A62" s="17" t="s">
        <v>64</v>
      </c>
      <c r="B62" s="11" t="s">
        <v>23</v>
      </c>
      <c r="C62" s="11" t="s">
        <v>24</v>
      </c>
      <c r="D62" s="11">
        <v>1500</v>
      </c>
      <c r="E62" s="11">
        <v>15</v>
      </c>
      <c r="F62" s="11">
        <v>0.66</v>
      </c>
      <c r="G62" s="11">
        <f t="shared" si="3"/>
        <v>0.7</v>
      </c>
      <c r="H62" s="11">
        <f t="shared" si="4"/>
        <v>0.83333333333333337</v>
      </c>
      <c r="I62" s="12">
        <f t="shared" si="2"/>
        <v>0.68933333333333335</v>
      </c>
    </row>
    <row r="63" spans="1:9" x14ac:dyDescent="0.3">
      <c r="A63" s="17" t="s">
        <v>70</v>
      </c>
      <c r="B63" s="11" t="s">
        <v>23</v>
      </c>
      <c r="C63" s="11" t="s">
        <v>9</v>
      </c>
      <c r="D63" s="11">
        <v>100</v>
      </c>
      <c r="E63" s="11">
        <v>2</v>
      </c>
      <c r="F63" s="11">
        <v>0.4</v>
      </c>
      <c r="G63" s="11">
        <f t="shared" si="3"/>
        <v>0.98</v>
      </c>
      <c r="H63" s="11">
        <f t="shared" si="4"/>
        <v>0.1111111111111111</v>
      </c>
      <c r="I63" s="12">
        <f t="shared" si="2"/>
        <v>0.5451111111111111</v>
      </c>
    </row>
  </sheetData>
  <sortState xmlns:xlrd2="http://schemas.microsoft.com/office/spreadsheetml/2017/richdata2" ref="A2:I64">
    <sortCondition ref="B1:B64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HANBALI DOUHA</dc:creator>
  <cp:lastModifiedBy>EL HANBALI DOUHA</cp:lastModifiedBy>
  <dcterms:created xsi:type="dcterms:W3CDTF">2026-05-01T19:44:33Z</dcterms:created>
  <dcterms:modified xsi:type="dcterms:W3CDTF">2026-05-04T13:20:50Z</dcterms:modified>
</cp:coreProperties>
</file>